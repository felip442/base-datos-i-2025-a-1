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90" windowHeight="7650" activeTab="1"/>
  </bookViews>
  <sheets>
    <sheet name="Cliente" sheetId="4" r:id="rId1"/>
    <sheet name="Producto" sheetId="2" r:id="rId2"/>
    <sheet name="Factura" sheetId="3" r:id="rId3"/>
    <sheet name="Detalle Factura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2" i="2"/>
  <c r="F2" i="5"/>
  <c r="F3" i="5"/>
  <c r="F4" i="5"/>
  <c r="F5" i="5"/>
  <c r="F6" i="5"/>
</calcChain>
</file>

<file path=xl/sharedStrings.xml><?xml version="1.0" encoding="utf-8"?>
<sst xmlns="http://schemas.openxmlformats.org/spreadsheetml/2006/main" count="67" uniqueCount="49">
  <si>
    <t>Idcliente</t>
  </si>
  <si>
    <t>Nombre</t>
  </si>
  <si>
    <t>Documento</t>
  </si>
  <si>
    <t>Correo</t>
  </si>
  <si>
    <t>Telefono</t>
  </si>
  <si>
    <t>Direccion</t>
  </si>
  <si>
    <t>Fecharegistro</t>
  </si>
  <si>
    <t>Idproducto</t>
  </si>
  <si>
    <t>Descripcion</t>
  </si>
  <si>
    <t>Stock</t>
  </si>
  <si>
    <t>Estado</t>
  </si>
  <si>
    <t>Idfactura</t>
  </si>
  <si>
    <t>Fecha</t>
  </si>
  <si>
    <t>Total</t>
  </si>
  <si>
    <t>Iddetalle</t>
  </si>
  <si>
    <t>Cantidad</t>
  </si>
  <si>
    <t>Valor unitario</t>
  </si>
  <si>
    <t>Valor total</t>
  </si>
  <si>
    <t>Luis David Contreras</t>
  </si>
  <si>
    <t>Maria Juliana Alvarez</t>
  </si>
  <si>
    <t>Alejandro Castañeda</t>
  </si>
  <si>
    <t>Mario Yepes</t>
  </si>
  <si>
    <t>Alvaro Gonzales</t>
  </si>
  <si>
    <t>Davidc@gmail.com</t>
  </si>
  <si>
    <t>Mjalvarez@gmail.com</t>
  </si>
  <si>
    <t>Castalejo@gmail.com</t>
  </si>
  <si>
    <t>Myepes01@gmail.com</t>
  </si>
  <si>
    <t>Agonzales@gmail.com</t>
  </si>
  <si>
    <t>calle 8# 2-1</t>
  </si>
  <si>
    <t>calle 9# 9-3</t>
  </si>
  <si>
    <t>calle 5# 5-4</t>
  </si>
  <si>
    <t>calle 4# 4-2</t>
  </si>
  <si>
    <t>calle 6# 6-5</t>
  </si>
  <si>
    <t>Arroz</t>
  </si>
  <si>
    <t>Aceite</t>
  </si>
  <si>
    <t>Aguardiente</t>
  </si>
  <si>
    <t>Azucar</t>
  </si>
  <si>
    <t>Sal</t>
  </si>
  <si>
    <t>Cereal</t>
  </si>
  <si>
    <t>Sustancia grasa</t>
  </si>
  <si>
    <t>Bebida alcoholica</t>
  </si>
  <si>
    <t>Endulzante</t>
  </si>
  <si>
    <t>35 unidades</t>
  </si>
  <si>
    <t>20 unidades</t>
  </si>
  <si>
    <t>40 unidades</t>
  </si>
  <si>
    <t>Excelente</t>
  </si>
  <si>
    <t>Stock disponible</t>
  </si>
  <si>
    <t>Unidades vendidas</t>
  </si>
  <si>
    <t xml:space="preserve">Stock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</si>
</sst>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2"/>
    <xf numFmtId="14" fontId="0" fillId="0" borderId="0" xfId="0" applyNumberFormat="1"/>
    <xf numFmtId="44" fontId="0" fillId="0" borderId="0" xfId="1" applyFont="1"/>
  </cellXfs>
  <cellStyles count="3">
    <cellStyle name="Hipervínculo" xfId="2" builtinId="8"/>
    <cellStyle name="Moneda" xfId="1" builtinId="4"/>
    <cellStyle name="Normal" xfId="0" builtinId="0"/>
  </cellStyles>
  <dxfs count="2"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a1" displayName="Tabla1" ref="A1:G6" totalsRowShown="0">
  <autoFilter ref="A1:G6"/>
  <tableColumns count="7">
    <tableColumn id="1" name="Idcliente"/>
    <tableColumn id="2" name="Nombre"/>
    <tableColumn id="3" name="Documento"/>
    <tableColumn id="4" name="Correo"/>
    <tableColumn id="5" name="Telefono"/>
    <tableColumn id="6" name="Direccion"/>
    <tableColumn id="7" name="Fecharegistr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a4" displayName="Tabla4" ref="A1:F6" totalsRowShown="0">
  <autoFilter ref="A1:F6"/>
  <tableColumns count="6">
    <tableColumn id="1" name="Idproducto"/>
    <tableColumn id="2" name="Nombre"/>
    <tableColumn id="3" name="Descripcion"/>
    <tableColumn id="4" name="Valor unitario" dataCellStyle="Moneda"/>
    <tableColumn id="5" name="Stock"/>
    <tableColumn id="6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8" name="Tabla79" displayName="Tabla79" ref="H1:J6" totalsRowShown="0">
  <autoFilter ref="H1:J6"/>
  <tableColumns count="3">
    <tableColumn id="1" name="Stock "/>
    <tableColumn id="2" name="Unidades vendidas" dataDxfId="0">
      <calculatedColumnFormula>LOOKUP(Tabla6[[#Headers],[Cantidad]],Tabla6[Cantidad],Tabla4[Stock])</calculatedColumnFormula>
    </tableColumn>
    <tableColumn id="3" name="Stock disponible">
      <calculatedColumnFormula>Tabla79[[Stock ]]-Tabla79[Unidades vendidas]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a5" displayName="Tabla5" ref="A1:E6" totalsRowShown="0">
  <autoFilter ref="A1:E6"/>
  <tableColumns count="5">
    <tableColumn id="1" name="Idfactura"/>
    <tableColumn id="2" name="Idcliente"/>
    <tableColumn id="3" name="Fecha" dataDxfId="1"/>
    <tableColumn id="4" name="Total" dataCellStyle="Moneda"/>
    <tableColumn id="5" name="Es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a6" displayName="Tabla6" ref="A1:F6" totalsRowShown="0">
  <autoFilter ref="A1:F6"/>
  <tableColumns count="6">
    <tableColumn id="1" name="Iddetalle"/>
    <tableColumn id="2" name="Idfactura"/>
    <tableColumn id="3" name="Idproducto"/>
    <tableColumn id="4" name="Cantidad"/>
    <tableColumn id="5" name="Valor unitario" dataCellStyle="Moneda"/>
    <tableColumn id="6" name="Valor total" dataCellStyle="Moneda">
      <calculatedColumnFormula>PRODUCT(Tabla6[Cantidad]*Tabla6[Valor unitario])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stalejo@gmail.com" TargetMode="External"/><Relationship Id="rId2" Type="http://schemas.openxmlformats.org/officeDocument/2006/relationships/hyperlink" Target="mailto:Mjalvarez@gmail.com" TargetMode="External"/><Relationship Id="rId1" Type="http://schemas.openxmlformats.org/officeDocument/2006/relationships/hyperlink" Target="mailto:Davidc@gmail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Agonzales@gmail.com" TargetMode="External"/><Relationship Id="rId4" Type="http://schemas.openxmlformats.org/officeDocument/2006/relationships/hyperlink" Target="mailto:Myepes01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H14" sqref="H14"/>
    </sheetView>
  </sheetViews>
  <sheetFormatPr baseColWidth="10" defaultRowHeight="15" x14ac:dyDescent="0.25"/>
  <cols>
    <col min="2" max="2" width="19.7109375" bestFit="1" customWidth="1"/>
    <col min="3" max="3" width="13.42578125" customWidth="1"/>
    <col min="4" max="4" width="20.7109375" bestFit="1" customWidth="1"/>
    <col min="5" max="5" width="11.42578125" customWidth="1"/>
    <col min="6" max="6" width="11.5703125" customWidth="1"/>
    <col min="7" max="7" width="15.140625" customWidth="1"/>
    <col min="8" max="8" width="11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1234</v>
      </c>
      <c r="B2" t="s">
        <v>18</v>
      </c>
      <c r="C2">
        <v>100923</v>
      </c>
      <c r="D2" s="1" t="s">
        <v>23</v>
      </c>
      <c r="E2">
        <v>31289282</v>
      </c>
      <c r="F2" t="s">
        <v>28</v>
      </c>
      <c r="G2" s="2">
        <v>45748</v>
      </c>
    </row>
    <row r="3" spans="1:7" x14ac:dyDescent="0.25">
      <c r="A3">
        <v>2209</v>
      </c>
      <c r="B3" t="s">
        <v>19</v>
      </c>
      <c r="C3">
        <v>109283</v>
      </c>
      <c r="D3" s="1" t="s">
        <v>24</v>
      </c>
      <c r="E3">
        <v>31231243</v>
      </c>
      <c r="F3" t="s">
        <v>31</v>
      </c>
      <c r="G3" s="2">
        <v>45749</v>
      </c>
    </row>
    <row r="4" spans="1:7" x14ac:dyDescent="0.25">
      <c r="A4">
        <v>3817</v>
      </c>
      <c r="B4" t="s">
        <v>20</v>
      </c>
      <c r="C4">
        <v>108253</v>
      </c>
      <c r="D4" s="1" t="s">
        <v>25</v>
      </c>
      <c r="E4">
        <v>32422323</v>
      </c>
      <c r="F4" t="s">
        <v>29</v>
      </c>
      <c r="G4" s="2">
        <v>45750</v>
      </c>
    </row>
    <row r="5" spans="1:7" x14ac:dyDescent="0.25">
      <c r="A5">
        <v>4405</v>
      </c>
      <c r="B5" t="s">
        <v>21</v>
      </c>
      <c r="C5">
        <v>107346</v>
      </c>
      <c r="D5" s="1" t="s">
        <v>26</v>
      </c>
      <c r="E5">
        <v>31230343</v>
      </c>
      <c r="F5" t="s">
        <v>30</v>
      </c>
      <c r="G5" s="2">
        <v>45751</v>
      </c>
    </row>
    <row r="6" spans="1:7" x14ac:dyDescent="0.25">
      <c r="A6">
        <v>5532</v>
      </c>
      <c r="B6" t="s">
        <v>22</v>
      </c>
      <c r="C6">
        <v>100238</v>
      </c>
      <c r="D6" s="1" t="s">
        <v>27</v>
      </c>
      <c r="E6">
        <v>31232312</v>
      </c>
      <c r="F6" t="s">
        <v>32</v>
      </c>
      <c r="G6" s="2">
        <v>45752</v>
      </c>
    </row>
  </sheetData>
  <hyperlinks>
    <hyperlink ref="D2" r:id="rId1"/>
    <hyperlink ref="D3" r:id="rId2"/>
    <hyperlink ref="D4" r:id="rId3"/>
    <hyperlink ref="D5" r:id="rId4"/>
    <hyperlink ref="D6" r:id="rId5"/>
  </hyperlinks>
  <pageMargins left="0.7" right="0.7" top="0.75" bottom="0.75" header="0.3" footer="0.3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I14" sqref="I14"/>
    </sheetView>
  </sheetViews>
  <sheetFormatPr baseColWidth="10" defaultRowHeight="15" x14ac:dyDescent="0.25"/>
  <cols>
    <col min="1" max="1" width="12.85546875" customWidth="1"/>
    <col min="2" max="2" width="12.42578125" customWidth="1"/>
    <col min="3" max="3" width="18.42578125" customWidth="1"/>
    <col min="4" max="4" width="14.85546875" customWidth="1"/>
    <col min="9" max="9" width="20.28515625" bestFit="1" customWidth="1"/>
  </cols>
  <sheetData>
    <row r="1" spans="1:10" x14ac:dyDescent="0.25">
      <c r="A1" t="s">
        <v>7</v>
      </c>
      <c r="B1" t="s">
        <v>1</v>
      </c>
      <c r="C1" t="s">
        <v>8</v>
      </c>
      <c r="D1" t="s">
        <v>16</v>
      </c>
      <c r="E1" t="s">
        <v>9</v>
      </c>
      <c r="F1" t="s">
        <v>10</v>
      </c>
      <c r="H1" t="s">
        <v>48</v>
      </c>
      <c r="I1" t="s">
        <v>47</v>
      </c>
      <c r="J1" t="s">
        <v>46</v>
      </c>
    </row>
    <row r="2" spans="1:10" x14ac:dyDescent="0.25">
      <c r="A2">
        <v>3333</v>
      </c>
      <c r="B2" t="s">
        <v>33</v>
      </c>
      <c r="C2" t="s">
        <v>38</v>
      </c>
      <c r="D2" s="3">
        <v>2500</v>
      </c>
      <c r="E2" t="s">
        <v>42</v>
      </c>
      <c r="F2" t="s">
        <v>45</v>
      </c>
      <c r="H2">
        <v>35</v>
      </c>
      <c r="I2">
        <v>2</v>
      </c>
      <c r="J2">
        <f>Tabla79[[Stock ]]-Tabla79[Unidades vendidas]</f>
        <v>33</v>
      </c>
    </row>
    <row r="3" spans="1:10" x14ac:dyDescent="0.25">
      <c r="A3">
        <v>4444</v>
      </c>
      <c r="B3" t="s">
        <v>34</v>
      </c>
      <c r="C3" t="s">
        <v>39</v>
      </c>
      <c r="D3" s="3">
        <v>5000</v>
      </c>
      <c r="E3" t="s">
        <v>43</v>
      </c>
      <c r="F3" t="s">
        <v>45</v>
      </c>
      <c r="H3">
        <v>20</v>
      </c>
      <c r="I3">
        <v>2</v>
      </c>
      <c r="J3">
        <f>Tabla79[[Stock ]]-Tabla79[Unidades vendidas]</f>
        <v>18</v>
      </c>
    </row>
    <row r="4" spans="1:10" x14ac:dyDescent="0.25">
      <c r="A4">
        <v>5555</v>
      </c>
      <c r="B4" t="s">
        <v>35</v>
      </c>
      <c r="C4" t="s">
        <v>40</v>
      </c>
      <c r="D4" s="3">
        <v>27000</v>
      </c>
      <c r="E4" t="s">
        <v>44</v>
      </c>
      <c r="F4" t="s">
        <v>45</v>
      </c>
      <c r="H4">
        <v>40</v>
      </c>
      <c r="I4">
        <v>1</v>
      </c>
      <c r="J4">
        <f>Tabla79[[Stock ]]-Tabla79[Unidades vendidas]</f>
        <v>39</v>
      </c>
    </row>
    <row r="5" spans="1:10" x14ac:dyDescent="0.25">
      <c r="A5">
        <v>6666</v>
      </c>
      <c r="B5" t="s">
        <v>36</v>
      </c>
      <c r="C5" t="s">
        <v>41</v>
      </c>
      <c r="D5" s="3">
        <v>2000</v>
      </c>
      <c r="E5" t="s">
        <v>44</v>
      </c>
      <c r="F5" t="s">
        <v>45</v>
      </c>
      <c r="H5">
        <v>40</v>
      </c>
      <c r="I5">
        <v>3</v>
      </c>
      <c r="J5">
        <f>Tabla79[[Stock ]]-Tabla79[Unidades vendidas]</f>
        <v>37</v>
      </c>
    </row>
    <row r="6" spans="1:10" x14ac:dyDescent="0.25">
      <c r="A6">
        <v>7777</v>
      </c>
      <c r="B6" t="s">
        <v>37</v>
      </c>
      <c r="C6" t="s">
        <v>37</v>
      </c>
      <c r="D6" s="3">
        <v>2000</v>
      </c>
      <c r="E6" t="s">
        <v>43</v>
      </c>
      <c r="F6" t="s">
        <v>45</v>
      </c>
      <c r="H6">
        <v>20</v>
      </c>
      <c r="I6">
        <v>2</v>
      </c>
      <c r="J6">
        <f>Tabla79[[Stock ]]-Tabla79[Unidades vendidas]</f>
        <v>18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G1" sqref="G1"/>
    </sheetView>
  </sheetViews>
  <sheetFormatPr baseColWidth="10" defaultRowHeight="15" x14ac:dyDescent="0.25"/>
  <cols>
    <col min="4" max="4" width="12" bestFit="1" customWidth="1"/>
    <col min="7" max="7" width="17.85546875" bestFit="1" customWidth="1"/>
    <col min="8" max="8" width="21.7109375" customWidth="1"/>
    <col min="9" max="9" width="19" bestFit="1" customWidth="1"/>
  </cols>
  <sheetData>
    <row r="1" spans="1:5" x14ac:dyDescent="0.25">
      <c r="A1" t="s">
        <v>11</v>
      </c>
      <c r="B1" t="s">
        <v>0</v>
      </c>
      <c r="C1" t="s">
        <v>12</v>
      </c>
      <c r="D1" t="s">
        <v>13</v>
      </c>
      <c r="E1" t="s">
        <v>10</v>
      </c>
    </row>
    <row r="2" spans="1:5" x14ac:dyDescent="0.25">
      <c r="A2">
        <v>1001</v>
      </c>
      <c r="B2">
        <v>1234</v>
      </c>
      <c r="C2" s="2">
        <v>45748</v>
      </c>
      <c r="D2" s="3">
        <v>2500</v>
      </c>
      <c r="E2" t="s">
        <v>45</v>
      </c>
    </row>
    <row r="3" spans="1:5" x14ac:dyDescent="0.25">
      <c r="A3">
        <v>1002</v>
      </c>
      <c r="B3">
        <v>2209</v>
      </c>
      <c r="C3" s="2">
        <v>45749</v>
      </c>
      <c r="D3" s="3">
        <v>5000</v>
      </c>
      <c r="E3" t="s">
        <v>45</v>
      </c>
    </row>
    <row r="4" spans="1:5" x14ac:dyDescent="0.25">
      <c r="A4">
        <v>1003</v>
      </c>
      <c r="B4">
        <v>3817</v>
      </c>
      <c r="C4" s="2">
        <v>45750</v>
      </c>
      <c r="D4" s="3">
        <v>27000</v>
      </c>
      <c r="E4" t="s">
        <v>45</v>
      </c>
    </row>
    <row r="5" spans="1:5" x14ac:dyDescent="0.25">
      <c r="A5">
        <v>1004</v>
      </c>
      <c r="B5">
        <v>4405</v>
      </c>
      <c r="C5" s="2">
        <v>45751</v>
      </c>
      <c r="D5" s="3">
        <v>2000</v>
      </c>
      <c r="E5" t="s">
        <v>45</v>
      </c>
    </row>
    <row r="6" spans="1:5" x14ac:dyDescent="0.25">
      <c r="A6">
        <v>1005</v>
      </c>
      <c r="B6">
        <v>5532</v>
      </c>
      <c r="C6" s="2">
        <v>45752</v>
      </c>
      <c r="D6" s="3">
        <v>2000</v>
      </c>
      <c r="E6" t="s">
        <v>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I2" sqref="I2"/>
    </sheetView>
  </sheetViews>
  <sheetFormatPr baseColWidth="10" defaultRowHeight="15" x14ac:dyDescent="0.25"/>
  <cols>
    <col min="3" max="3" width="12.85546875" customWidth="1"/>
    <col min="5" max="5" width="15.28515625" customWidth="1"/>
    <col min="6" max="6" width="12.42578125" customWidth="1"/>
  </cols>
  <sheetData>
    <row r="1" spans="1:6" x14ac:dyDescent="0.25">
      <c r="A1" t="s">
        <v>14</v>
      </c>
      <c r="B1" t="s">
        <v>11</v>
      </c>
      <c r="C1" t="s">
        <v>7</v>
      </c>
      <c r="D1" t="s">
        <v>15</v>
      </c>
      <c r="E1" t="s">
        <v>16</v>
      </c>
      <c r="F1" t="s">
        <v>17</v>
      </c>
    </row>
    <row r="2" spans="1:6" x14ac:dyDescent="0.25">
      <c r="A2">
        <v>20002</v>
      </c>
      <c r="B2">
        <v>1001</v>
      </c>
      <c r="C2">
        <v>3333</v>
      </c>
      <c r="D2">
        <v>2</v>
      </c>
      <c r="E2" s="3">
        <v>2500</v>
      </c>
      <c r="F2" s="3">
        <f>PRODUCT(Tabla6[Cantidad]*Tabla6[Valor unitario])</f>
        <v>5000</v>
      </c>
    </row>
    <row r="3" spans="1:6" x14ac:dyDescent="0.25">
      <c r="A3">
        <v>20003</v>
      </c>
      <c r="B3">
        <v>1002</v>
      </c>
      <c r="C3">
        <v>4444</v>
      </c>
      <c r="D3">
        <v>2</v>
      </c>
      <c r="E3" s="3">
        <v>5000</v>
      </c>
      <c r="F3" s="3">
        <f>PRODUCT(Tabla6[Cantidad]*Tabla6[Valor unitario])</f>
        <v>10000</v>
      </c>
    </row>
    <row r="4" spans="1:6" x14ac:dyDescent="0.25">
      <c r="A4">
        <v>20004</v>
      </c>
      <c r="B4">
        <v>1003</v>
      </c>
      <c r="C4">
        <v>5555</v>
      </c>
      <c r="D4">
        <v>1</v>
      </c>
      <c r="E4" s="3">
        <v>27000</v>
      </c>
      <c r="F4" s="3">
        <f>PRODUCT(Tabla6[Cantidad]*Tabla6[Valor unitario])</f>
        <v>27000</v>
      </c>
    </row>
    <row r="5" spans="1:6" x14ac:dyDescent="0.25">
      <c r="A5">
        <v>20005</v>
      </c>
      <c r="B5">
        <v>1004</v>
      </c>
      <c r="C5">
        <v>6666</v>
      </c>
      <c r="D5">
        <v>3</v>
      </c>
      <c r="E5" s="3">
        <v>2000</v>
      </c>
      <c r="F5" s="3">
        <f>PRODUCT(Tabla6[Cantidad]*Tabla6[Valor unitario])</f>
        <v>6000</v>
      </c>
    </row>
    <row r="6" spans="1:6" x14ac:dyDescent="0.25">
      <c r="A6">
        <v>20006</v>
      </c>
      <c r="B6">
        <v>1005</v>
      </c>
      <c r="C6">
        <v>7777</v>
      </c>
      <c r="D6">
        <v>2</v>
      </c>
      <c r="E6" s="3">
        <v>2000</v>
      </c>
      <c r="F6" s="3">
        <f>PRODUCT(Tabla6[Cantidad]*Tabla6[Valor unitario])</f>
        <v>4000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</vt:lpstr>
      <vt:lpstr>Producto</vt:lpstr>
      <vt:lpstr>Factura</vt:lpstr>
      <vt:lpstr>Detalle Factura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2025-03-07T01:47:56Z</dcterms:created>
  <dcterms:modified xsi:type="dcterms:W3CDTF">2025-03-07T02:29:32Z</dcterms:modified>
</cp:coreProperties>
</file>